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Transactions" sheetId="1" r:id="rId1"/>
    <sheet name="Household Budget Summary" sheetId="2" r:id="rId2"/>
    <sheet name="Annual Sinking Fund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38" customWidth="1"/>
    <col min="3" max="3" width="16" customWidth="1"/>
    <col min="4" max="4" width="14" customWidth="1"/>
    <col min="5" max="5" width="14" customWidth="1"/>
    <col min="6" max="6" width="22" customWidth="1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Debit</t>
        </is>
      </c>
      <c r="E1" t="inlineStr">
        <is>
          <t>Credit</t>
        </is>
      </c>
      <c r="F1" t="inlineStr">
        <is>
          <t>Bucket</t>
        </is>
      </c>
    </row>
    <row r="2">
      <c r="A2" t="inlineStr">
        <is>
          <t>2026-10-01</t>
        </is>
      </c>
      <c r="B2" t="inlineStr">
        <is>
          <t>Monthly Salary (In-Hand)</t>
        </is>
      </c>
      <c r="C2" t="inlineStr">
        <is>
          <t>Other</t>
        </is>
      </c>
      <c r="E2">
        <v>100000</v>
      </c>
      <c r="F2" t="inlineStr">
        <is>
          <t>Regular income</t>
        </is>
      </c>
    </row>
    <row r="3">
      <c r="A3" t="inlineStr">
        <is>
          <t>2026-10-03</t>
        </is>
      </c>
      <c r="B3" t="inlineStr">
        <is>
          <t>Flat Rent / Home Loan EMI</t>
        </is>
      </c>
      <c r="C3" t="inlineStr">
        <is>
          <t>Rent</t>
        </is>
      </c>
      <c r="D3">
        <v>24000</v>
      </c>
      <c r="F3" t="inlineStr">
        <is>
          <t>Monthly fixed</t>
        </is>
      </c>
    </row>
    <row r="4">
      <c r="A4" t="inlineStr">
        <is>
          <t>2026-10-05</t>
        </is>
      </c>
      <c r="B4" t="inlineStr">
        <is>
          <t>Society Maintenance</t>
        </is>
      </c>
      <c r="C4" t="inlineStr">
        <is>
          <t>Household</t>
        </is>
      </c>
      <c r="D4">
        <v>3000</v>
      </c>
      <c r="F4" t="inlineStr">
        <is>
          <t>Monthly fixed</t>
        </is>
      </c>
    </row>
    <row r="5">
      <c r="A5" t="inlineStr">
        <is>
          <t>2026-10-05</t>
        </is>
      </c>
      <c r="B5" t="inlineStr">
        <is>
          <t>Cook &amp; Househelp Salary</t>
        </is>
      </c>
      <c r="C5" t="inlineStr">
        <is>
          <t>Household</t>
        </is>
      </c>
      <c r="D5">
        <v>5500</v>
      </c>
      <c r="F5" t="inlineStr">
        <is>
          <t>Monthly fixed</t>
        </is>
      </c>
    </row>
    <row r="6">
      <c r="A6" t="inlineStr">
        <is>
          <t>2026-10-07</t>
        </is>
      </c>
      <c r="B6" t="inlineStr">
        <is>
          <t>Parents Health &amp; Monthly Support</t>
        </is>
      </c>
      <c r="C6" t="inlineStr">
        <is>
          <t>Family</t>
        </is>
      </c>
      <c r="D6">
        <v>6000</v>
      </c>
      <c r="F6" t="inlineStr">
        <is>
          <t>Monthly fixed</t>
        </is>
      </c>
    </row>
    <row r="7">
      <c r="A7" t="inlineStr">
        <is>
          <t>2026-10-08</t>
        </is>
      </c>
      <c r="B7" t="inlineStr">
        <is>
          <t>Child School Tuition &amp; Bus Fee</t>
        </is>
      </c>
      <c r="C7" t="inlineStr">
        <is>
          <t>Education</t>
        </is>
      </c>
      <c r="D7">
        <v>6500</v>
      </c>
      <c r="F7" t="inlineStr">
        <is>
          <t>Monthly fixed</t>
        </is>
      </c>
    </row>
    <row r="8">
      <c r="A8" t="inlineStr">
        <is>
          <t>2026-10-10</t>
        </is>
      </c>
      <c r="B8" t="inlineStr">
        <is>
          <t>Nifty 50 &amp; Flexicap Mutual Fund SIP</t>
        </is>
      </c>
      <c r="C8" t="inlineStr">
        <is>
          <t>Other</t>
        </is>
      </c>
      <c r="D8">
        <v>15000</v>
      </c>
      <c r="F8" t="inlineStr">
        <is>
          <t>Investment</t>
        </is>
      </c>
    </row>
    <row r="9">
      <c r="A9" t="inlineStr">
        <is>
          <t>2026-10-10</t>
        </is>
      </c>
      <c r="B9" t="inlineStr">
        <is>
          <t>PPF / Emergency Liquid Fund Transfer</t>
        </is>
      </c>
      <c r="C9" t="inlineStr">
        <is>
          <t>Other</t>
        </is>
      </c>
      <c r="D9">
        <v>5000</v>
      </c>
      <c r="F9" t="inlineStr">
        <is>
          <t>Investment</t>
        </is>
      </c>
    </row>
    <row r="10">
      <c r="A10" t="inlineStr">
        <is>
          <t>2026-10-11</t>
        </is>
      </c>
      <c r="B10" t="inlineStr">
        <is>
          <t>BigBasket Monthly Groceries &amp; Staples</t>
        </is>
      </c>
      <c r="C10" t="inlineStr">
        <is>
          <t>Grocery</t>
        </is>
      </c>
      <c r="D10">
        <v>6200</v>
      </c>
      <c r="F10" t="inlineStr">
        <is>
          <t>Day to day</t>
        </is>
      </c>
    </row>
    <row r="11">
      <c r="A11" t="inlineStr">
        <is>
          <t>2026-10-12</t>
        </is>
      </c>
      <c r="B11" t="inlineStr">
        <is>
          <t>Electricity &amp; Cooking Gas Bill</t>
        </is>
      </c>
      <c r="C11" t="inlineStr">
        <is>
          <t>Utilities</t>
        </is>
      </c>
      <c r="D11">
        <v>2800</v>
      </c>
      <c r="F11" t="inlineStr">
        <is>
          <t>Day to day</t>
        </is>
      </c>
    </row>
    <row r="12">
      <c r="A12" t="inlineStr">
        <is>
          <t>2026-10-14</t>
        </is>
      </c>
      <c r="B12" t="inlineStr">
        <is>
          <t>Fiber Broadband &amp; Family Mobile Plans</t>
        </is>
      </c>
      <c r="C12" t="inlineStr">
        <is>
          <t>Utilities</t>
        </is>
      </c>
      <c r="D12">
        <v>1700</v>
      </c>
      <c r="F12" t="inlineStr">
        <is>
          <t>Monthly fixed</t>
        </is>
      </c>
    </row>
    <row r="13">
      <c r="A13" t="inlineStr">
        <is>
          <t>2026-10-15</t>
        </is>
      </c>
      <c r="B13" t="inlineStr">
        <is>
          <t>IndianOil Petrol &amp; Metro Recharge</t>
        </is>
      </c>
      <c r="C13" t="inlineStr">
        <is>
          <t>Vehicle</t>
        </is>
      </c>
      <c r="D13">
        <v>3500</v>
      </c>
      <c r="F13" t="inlineStr">
        <is>
          <t>Day to day</t>
        </is>
      </c>
    </row>
    <row r="14">
      <c r="A14" t="inlineStr">
        <is>
          <t>2026-10-17</t>
        </is>
      </c>
      <c r="B14" t="inlineStr">
        <is>
          <t>Fresh Vegetables, Milk &amp; Fruits</t>
        </is>
      </c>
      <c r="C14" t="inlineStr">
        <is>
          <t>Grocery</t>
        </is>
      </c>
      <c r="D14">
        <v>3800</v>
      </c>
      <c r="F14" t="inlineStr">
        <is>
          <t>Day to day</t>
        </is>
      </c>
    </row>
    <row r="15">
      <c r="A15" t="inlineStr">
        <is>
          <t>2026-10-19</t>
        </is>
      </c>
      <c r="B15" t="inlineStr">
        <is>
          <t>Swiggy / Weekend Family Dinner</t>
        </is>
      </c>
      <c r="C15" t="inlineStr">
        <is>
          <t>Food</t>
        </is>
      </c>
      <c r="D15">
        <v>2400</v>
      </c>
      <c r="F15" t="inlineStr">
        <is>
          <t>Day to day</t>
        </is>
      </c>
    </row>
    <row r="16">
      <c r="A16" t="inlineStr">
        <is>
          <t>2026-10-21</t>
        </is>
      </c>
      <c r="B16" t="inlineStr">
        <is>
          <t>Apollo Pharmacy &amp; Routine Medical</t>
        </is>
      </c>
      <c r="C16" t="inlineStr">
        <is>
          <t>Health</t>
        </is>
      </c>
      <c r="D16">
        <v>1500</v>
      </c>
      <c r="F16" t="inlineStr">
        <is>
          <t>Day to day</t>
        </is>
      </c>
    </row>
    <row r="17">
      <c r="A17" t="inlineStr">
        <is>
          <t>2026-10-24</t>
        </is>
      </c>
      <c r="B17" t="inlineStr">
        <is>
          <t>Amazon Household &amp; Personal Essentials</t>
        </is>
      </c>
      <c r="C17" t="inlineStr">
        <is>
          <t>Shopping</t>
        </is>
      </c>
      <c r="D17">
        <v>2100</v>
      </c>
      <c r="F17" t="inlineStr">
        <is>
          <t>Day to day</t>
        </is>
      </c>
    </row>
    <row r="18">
      <c r="A18" t="inlineStr">
        <is>
          <t>2026-10-25</t>
        </is>
      </c>
      <c r="B18" t="inlineStr">
        <is>
          <t>Annual Health Insurance Premium (Monthly Share)</t>
        </is>
      </c>
      <c r="C18" t="inlineStr">
        <is>
          <t>Insurance</t>
        </is>
      </c>
      <c r="D18">
        <v>3000</v>
      </c>
      <c r="F18" t="inlineStr">
        <is>
          <t>Annual sinking fund</t>
        </is>
      </c>
    </row>
  </sheetData>
</worksheet>
</file>

<file path=xl/worksheets/sheet2.xml><?xml version="1.0" encoding="utf-8"?>
<worksheet xmlns="http://schemas.openxmlformats.org/spreadsheetml/2006/main">
  <cols>
    <col min="1" max="1" width="34" customWidth="1"/>
    <col min="2" max="2" width="48" customWidth="1"/>
    <col min="3" max="3" width="20" customWidth="1"/>
    <col min="4" max="4" width="20" customWidth="1"/>
  </cols>
  <sheetData>
    <row r="1">
      <c r="A1" t="inlineStr">
        <is>
          <t>PlannedOut — Indian Household Monthly Budget Template (in ₹ Rupees)</t>
        </is>
      </c>
    </row>
    <row r="2">
      <c r="A2" t="inlineStr">
        <is>
          <t>Import this workbook directly at https://plannedout.in/app for automatic charts, yearly tables &amp; runway projections.</t>
        </is>
      </c>
    </row>
    <row r="4">
      <c r="A4" t="inlineStr">
        <is>
          <t>Bucket</t>
        </is>
      </c>
      <c r="B4" t="inlineStr">
        <is>
          <t>What it covers</t>
        </is>
      </c>
      <c r="C4" t="inlineStr">
        <is>
          <t>Monthly Budget (₹)</t>
        </is>
      </c>
      <c r="D4" t="inlineStr">
        <is>
          <t>Yearly Total (₹)</t>
        </is>
      </c>
    </row>
    <row r="5">
      <c r="A5" t="inlineStr">
        <is>
          <t>1. Regular In-Hand Income</t>
        </is>
      </c>
      <c r="B5" t="inlineStr">
        <is>
          <t>Salary after EPF &amp; tax, plus rent or interest</t>
        </is>
      </c>
      <c r="C5">
        <v>100000</v>
      </c>
      <c r="D5">
        <f>C5*12</f>
        <v>1200000</v>
      </c>
    </row>
    <row r="6">
      <c r="A6" t="inlineStr">
        <is>
          <t>2. Fixed Monthly Commitments</t>
        </is>
      </c>
      <c r="B6" t="inlineStr">
        <is>
          <t>Rent/EMI, maintenance, househelp, tuition, broadband, parents</t>
        </is>
      </c>
      <c r="C6">
        <v>46700</v>
      </c>
      <c r="D6">
        <f>C6*12</f>
        <v>560400</v>
      </c>
    </row>
    <row r="7">
      <c r="A7" t="inlineStr">
        <is>
          <t>3. Day-to-Day Living</t>
        </is>
      </c>
      <c r="B7" t="inlineStr">
        <is>
          <t>Groceries, milk, electricity, gas, fuel, dining out, pharmacy</t>
        </is>
      </c>
      <c r="C7">
        <v>20300</v>
      </c>
      <c r="D7">
        <f>C7*12</f>
        <v>243600</v>
      </c>
    </row>
    <row r="8">
      <c r="A8" t="inlineStr">
        <is>
          <t>4. Annual Bills Sinking Fund (÷ 12)</t>
        </is>
      </c>
      <c r="B8" t="inlineStr">
        <is>
          <t>Health &amp; term insurance, April school fee, Diwali, travel</t>
        </is>
      </c>
      <c r="C8">
        <v>10000</v>
      </c>
      <c r="D8">
        <f>C8*12</f>
        <v>120000</v>
      </c>
    </row>
    <row r="9">
      <c r="A9" t="inlineStr">
        <is>
          <t>5. Investments (SIP / PPF / RD)</t>
        </is>
      </c>
      <c r="B9" t="inlineStr">
        <is>
          <t>Mutual fund SIPs, PPF, Sukanya Samriddhi, emergency fund</t>
        </is>
      </c>
      <c r="C9">
        <v>20000</v>
      </c>
      <c r="D9">
        <f>C9*12</f>
        <v>240000</v>
      </c>
    </row>
    <row r="10">
      <c r="A10" t="inlineStr">
        <is>
          <t>6. Net Monthly Cash Surplus</t>
        </is>
      </c>
      <c r="B10" t="inlineStr">
        <is>
          <t>Unallocated buffer left in bank account</t>
        </is>
      </c>
      <c r="C10">
        <f>C5-C6-C7-C8-C9</f>
        <v>3000</v>
      </c>
      <c r="D10">
        <f>D5-D6-D7-D8-D9</f>
        <v>36000</v>
      </c>
    </row>
  </sheetData>
</worksheet>
</file>

<file path=xl/worksheets/sheet3.xml><?xml version="1.0" encoding="utf-8"?>
<worksheet xmlns="http://schemas.openxmlformats.org/spreadsheetml/2006/main">
  <cols>
    <col min="1" max="1" width="38" customWidth="1"/>
    <col min="2" max="2" width="20" customWidth="1"/>
    <col min="3" max="3" width="18" customWidth="1"/>
    <col min="4" max="4" width="22" customWidth="1"/>
  </cols>
  <sheetData>
    <row r="1">
      <c r="A1" t="inlineStr">
        <is>
          <t>Annual Expenses &amp; Sinking Fund Planner (Yearly Bill ÷ 12)</t>
        </is>
      </c>
    </row>
    <row r="3">
      <c r="A3" t="inlineStr">
        <is>
          <t>Annual Expense Category</t>
        </is>
      </c>
      <c r="B3" t="inlineStr">
        <is>
          <t>Usual Due Month</t>
        </is>
      </c>
      <c r="C3" t="inlineStr">
        <is>
          <t>Yearly Bill (₹)</t>
        </is>
      </c>
      <c r="D3" t="inlineStr">
        <is>
          <t>Monthly Set-Aside (₹)</t>
        </is>
      </c>
    </row>
    <row r="4">
      <c r="A4" t="inlineStr">
        <is>
          <t>Family Floater Health Insurance</t>
        </is>
      </c>
      <c r="B4" t="inlineStr">
        <is>
          <t>June</t>
        </is>
      </c>
      <c r="C4">
        <v>36000</v>
      </c>
      <c r="D4">
        <f>C4/12</f>
        <v>3000</v>
      </c>
    </row>
    <row r="5">
      <c r="A5" t="inlineStr">
        <is>
          <t>Term Life Insurance Premium</t>
        </is>
      </c>
      <c r="B5" t="inlineStr">
        <is>
          <t>August</t>
        </is>
      </c>
      <c r="C5">
        <v>18000</v>
      </c>
      <c r="D5">
        <f>C5/12</f>
        <v>1500</v>
      </c>
    </row>
    <row r="6">
      <c r="A6" t="inlineStr">
        <is>
          <t>Annual School Admission, Books &amp; Uniforms</t>
        </is>
      </c>
      <c r="B6" t="inlineStr">
        <is>
          <t>April</t>
        </is>
      </c>
      <c r="C6">
        <v>24000</v>
      </c>
      <c r="D6">
        <f>C6/12</f>
        <v>2000</v>
      </c>
    </row>
    <row r="7">
      <c r="A7" t="inlineStr">
        <is>
          <t>Diwali Gifts, Staff Bonus &amp; Festive Shopping</t>
        </is>
      </c>
      <c r="B7" t="inlineStr">
        <is>
          <t>October / November</t>
        </is>
      </c>
      <c r="C7">
        <v>18000</v>
      </c>
      <c r="D7">
        <f>C7/12</f>
        <v>1500</v>
      </c>
    </row>
    <row r="8">
      <c r="A8" t="inlineStr">
        <is>
          <t>Annual Family Travel / Native Visit</t>
        </is>
      </c>
      <c r="B8" t="inlineStr">
        <is>
          <t>May / December</t>
        </is>
      </c>
      <c r="C8">
        <v>12000</v>
      </c>
      <c r="D8">
        <f>C8/12</f>
        <v>1000</v>
      </c>
    </row>
    <row r="9">
      <c r="A9" t="inlineStr">
        <is>
          <t>Car / Two-Wheeler Insurance &amp; Servicing</t>
        </is>
      </c>
      <c r="B9" t="inlineStr">
        <is>
          <t>September</t>
        </is>
      </c>
      <c r="C9">
        <v>12000</v>
      </c>
      <c r="D9">
        <f>C9/12</f>
        <v>1000</v>
      </c>
    </row>
    <row r="10">
      <c r="A10" t="inlineStr">
        <is>
          <t>Total Annual Sinking Funds</t>
        </is>
      </c>
      <c r="B10" t="inlineStr">
        <is>
          <t>All 12 Months</t>
        </is>
      </c>
      <c r="C10">
        <f>SUM(C4:C9)</f>
        <v>120000</v>
      </c>
      <c r="D10">
        <f>SUM(D4:D9)</f>
        <v>10000</v>
      </c>
    </row>
  </sheetData>
</worksheet>
</file>